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 d'emploi" sheetId="1" state="visible" r:id="rId3"/>
    <sheet name="Simulateur 12 moi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<sst xmlns="http://schemas.openxmlformats.org/spreadsheetml/2006/main" count="51" uniqueCount="51">
  <si>
    <t xml:space="preserve">Simulateur de trésorerie — projection 12 mois</t>
  </si>
  <si>
    <t xml:space="preserve">Impact Conseil — impact-conseil-gestion.fr · Outil gratuit</t>
  </si>
  <si>
    <t xml:space="preserve">Projetez votre trésorerie sur 12 mois et repérez les points bas AVANT qu'ils n'arrivent.</t>
  </si>
  <si>
    <t xml:space="preserve">■ Règle d'or : saisissez les flux aux dates réelles d'encaissement / décaissement,</t>
  </si>
  <si>
    <t xml:space="preserve">   pas aux dates de facturation. Une facture de mars payée à 60 jours = trésorerie de mai.</t>
  </si>
  <si>
    <t xml:space="preserve">■ N'oubliez pas les pièges classiques :</t>
  </si>
  <si>
    <t xml:space="preserve">   TVA à reverser · charges sociales trimestrielles · acomptes d'impôt · échéances de prêt</t>
  </si>
  <si>
    <t xml:space="preserve">■ Rituel mensuel (30 min) : mettez à jour le réalisé, décalez ce qui a glissé,</t>
  </si>
  <si>
    <t xml:space="preserve">   regardez le point bas des 6 prochains mois. S'il est négatif : agissez maintenant.</t>
  </si>
  <si>
    <t xml:space="preserve">Article lié : « Plan de trésorerie : l'outil que 80% des dirigeants n'ont pas »</t>
  </si>
  <si>
    <t xml:space="preserve">→ impact-conseil-gestion.fr/ressources/plan-de-tresorerie.html</t>
  </si>
  <si>
    <t xml:space="preserve">Légende :</t>
  </si>
  <si>
    <t xml:space="preserve">Texte bleu = cellule à remplir par vous</t>
  </si>
  <si>
    <t xml:space="preserve">Fond jaune = hypothèse clé à personnaliser</t>
  </si>
  <si>
    <t xml:space="preserve">Texte noir = formule calculée automatiquement — ne pas modifier</t>
  </si>
  <si>
    <t xml:space="preserve">Le mois de janvier est pré-rempli avec un exemple réaliste (entreprise de services, 5 salariés). Remplacez-le par vos chiffres.</t>
  </si>
  <si>
    <t xml:space="preserve">SIMULATEUR DE TRÉSORERIE — 12 MOIS</t>
  </si>
  <si>
    <t xml:space="preserve">Trésorerie de départ (solde bancaire au 1er jour du mois 1)</t>
  </si>
  <si>
    <t xml:space="preserve">Flux</t>
  </si>
  <si>
    <t xml:space="preserve">Janv</t>
  </si>
  <si>
    <t xml:space="preserve">Févr</t>
  </si>
  <si>
    <t xml:space="preserve">Mars</t>
  </si>
  <si>
    <t xml:space="preserve">Avril</t>
  </si>
  <si>
    <t xml:space="preserve">Mai</t>
  </si>
  <si>
    <t xml:space="preserve">Juin</t>
  </si>
  <si>
    <t xml:space="preserve">Juil</t>
  </si>
  <si>
    <t xml:space="preserve">Août</t>
  </si>
  <si>
    <t xml:space="preserve">Sept</t>
  </si>
  <si>
    <t xml:space="preserve">Oct</t>
  </si>
  <si>
    <t xml:space="preserve">Nov</t>
  </si>
  <si>
    <t xml:space="preserve">Déc</t>
  </si>
  <si>
    <t xml:space="preserve">ENCAISSEMENTS</t>
  </si>
  <si>
    <t xml:space="preserve">Encaissements clients (TTC)</t>
  </si>
  <si>
    <t xml:space="preserve">Subventions / aides reçues</t>
  </si>
  <si>
    <t xml:space="preserve">Apports / financements reçus</t>
  </si>
  <si>
    <t xml:space="preserve">Autres encaissements</t>
  </si>
  <si>
    <t xml:space="preserve">Total encaissements</t>
  </si>
  <si>
    <t xml:space="preserve">DÉCAISSEMENTS</t>
  </si>
  <si>
    <t xml:space="preserve">Fournisseurs &amp; achats (TTC)</t>
  </si>
  <si>
    <t xml:space="preserve">Salaires nets</t>
  </si>
  <si>
    <t xml:space="preserve">Charges sociales (URSSAF…)</t>
  </si>
  <si>
    <t xml:space="preserve">TVA reversée à l'État</t>
  </si>
  <si>
    <t xml:space="preserve">Loyers &amp; charges locatives</t>
  </si>
  <si>
    <t xml:space="preserve">Échéances d'emprunt</t>
  </si>
  <si>
    <t xml:space="preserve">Impôts (IS, CFE…)</t>
  </si>
  <si>
    <t xml:space="preserve">Autres décaissements</t>
  </si>
  <si>
    <t xml:space="preserve">Total décaissements</t>
  </si>
  <si>
    <t xml:space="preserve">Flux net du mois</t>
  </si>
  <si>
    <t xml:space="preserve">SOLDE DE TRÉSORERIE FIN DE MOIS</t>
  </si>
  <si>
    <t xml:space="preserve">Point bas des 12 mois</t>
  </si>
  <si>
    <t xml:space="preserve">Exemple janvier : chiffres illustratifs fournis par Impact Conseil (services, 5 salariés). Remplacez-les par vos flux réels.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</si>
</sst>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&quot; €&quot;;\(#,##0&quot; €)&quot;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62A48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4"/>
      <color rgb="FF162A4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D7821E"/>
      <name val="Arial"/>
      <family val="0"/>
      <charset val="1"/>
    </font>
    <font>
      <b val="true"/>
      <sz val="11"/>
      <color rgb="FF162A48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62A48"/>
        <bgColor rgb="FF333333"/>
      </patternFill>
    </fill>
    <fill>
      <patternFill patternType="solid">
        <fgColor rgb="FFF5F0EB"/>
        <bgColor rgb="FFEAF1EA"/>
      </patternFill>
    </fill>
    <fill>
      <patternFill patternType="solid">
        <fgColor rgb="FFEAF1EA"/>
        <bgColor rgb="FFF5F0E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b val="1"/>
        <color rgb="FFFF0000"/>
      </font>
      <fill>
        <patternFill>
          <bgColor rgb="FFFDE7E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5F0EB"/>
      <rgbColor rgb="FFEAF1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7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D7821E"/>
      <rgbColor rgb="FFFF6600"/>
      <rgbColor rgb="FF666666"/>
      <rgbColor rgb="FF969696"/>
      <rgbColor rgb="FF162A48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10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3"/>
    </row>
    <row r="7" customFormat="false" ht="15" hidden="false" customHeight="false" outlineLevel="0" collapsed="false">
      <c r="B7" s="4" t="s">
        <v>3</v>
      </c>
    </row>
    <row r="8" customFormat="false" ht="15" hidden="false" customHeight="false" outlineLevel="0" collapsed="false">
      <c r="B8" s="3" t="s">
        <v>4</v>
      </c>
    </row>
    <row r="9" customFormat="false" ht="15" hidden="false" customHeight="false" outlineLevel="0" collapsed="false">
      <c r="B9" s="3"/>
    </row>
    <row r="10" customFormat="false" ht="15" hidden="false" customHeight="false" outlineLevel="0" collapsed="false">
      <c r="B10" s="4" t="s">
        <v>5</v>
      </c>
    </row>
    <row r="11" customFormat="false" ht="15" hidden="false" customHeight="false" outlineLevel="0" collapsed="false">
      <c r="B11" s="3" t="s">
        <v>6</v>
      </c>
    </row>
    <row r="12" customFormat="false" ht="15" hidden="false" customHeight="false" outlineLevel="0" collapsed="false">
      <c r="B12" s="3"/>
    </row>
    <row r="13" customFormat="false" ht="15" hidden="false" customHeight="false" outlineLevel="0" collapsed="false">
      <c r="B13" s="4" t="s">
        <v>7</v>
      </c>
    </row>
    <row r="14" customFormat="false" ht="15" hidden="false" customHeight="false" outlineLevel="0" collapsed="false">
      <c r="B14" s="3" t="s">
        <v>8</v>
      </c>
    </row>
    <row r="15" customFormat="false" ht="15" hidden="false" customHeight="false" outlineLevel="0" collapsed="false">
      <c r="B15" s="3"/>
    </row>
    <row r="16" customFormat="false" ht="15" hidden="false" customHeight="false" outlineLevel="0" collapsed="false">
      <c r="B16" s="3" t="s">
        <v>9</v>
      </c>
    </row>
    <row r="17" customFormat="false" ht="15" hidden="false" customHeight="false" outlineLevel="0" collapsed="false">
      <c r="B17" s="3" t="s">
        <v>10</v>
      </c>
    </row>
    <row r="19" customFormat="false" ht="15" hidden="false" customHeight="false" outlineLevel="0" collapsed="false">
      <c r="B19" s="4" t="s">
        <v>11</v>
      </c>
    </row>
    <row r="20" customFormat="false" ht="15" hidden="false" customHeight="false" outlineLevel="0" collapsed="false">
      <c r="B20" s="5" t="s">
        <v>12</v>
      </c>
    </row>
    <row r="21" customFormat="false" ht="15" hidden="false" customHeight="false" outlineLevel="0" collapsed="false">
      <c r="B21" s="6" t="s">
        <v>13</v>
      </c>
    </row>
    <row r="22" customFormat="false" ht="15" hidden="false" customHeight="false" outlineLevel="0" collapsed="false">
      <c r="B22" s="3" t="s">
        <v>14</v>
      </c>
    </row>
    <row r="24" customFormat="false" ht="15" hidden="false" customHeight="false" outlineLevel="0" collapsed="false">
      <c r="B24" s="7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42"/>
    <col collapsed="false" customWidth="true" hidden="false" outlineLevel="0" max="14" min="3" style="0" width="11"/>
  </cols>
  <sheetData>
    <row r="2" customFormat="false" ht="17.35" hidden="false" customHeight="false" outlineLevel="0" collapsed="false">
      <c r="B2" s="8" t="s">
        <v>16</v>
      </c>
    </row>
    <row r="4" customFormat="false" ht="15" hidden="false" customHeight="false" outlineLevel="0" collapsed="false">
      <c r="B4" s="4" t="s">
        <v>17</v>
      </c>
      <c r="C4" s="9" t="n">
        <v>15000</v>
      </c>
    </row>
    <row r="6" customFormat="false" ht="15" hidden="false" customHeight="false" outlineLevel="0" collapsed="false">
      <c r="B6" s="10" t="s">
        <v>18</v>
      </c>
      <c r="C6" s="11" t="s">
        <v>19</v>
      </c>
      <c r="D6" s="11" t="s">
        <v>20</v>
      </c>
      <c r="E6" s="11" t="s">
        <v>21</v>
      </c>
      <c r="F6" s="11" t="s">
        <v>22</v>
      </c>
      <c r="G6" s="11" t="s">
        <v>23</v>
      </c>
      <c r="H6" s="11" t="s">
        <v>24</v>
      </c>
      <c r="I6" s="11" t="s">
        <v>25</v>
      </c>
      <c r="J6" s="11" t="s">
        <v>26</v>
      </c>
      <c r="K6" s="11" t="s">
        <v>27</v>
      </c>
      <c r="L6" s="11" t="s">
        <v>28</v>
      </c>
      <c r="M6" s="11" t="s">
        <v>29</v>
      </c>
      <c r="N6" s="11" t="s">
        <v>30</v>
      </c>
    </row>
    <row r="7" customFormat="false" ht="15" hidden="false" customHeight="false" outlineLevel="0" collapsed="false">
      <c r="B7" s="12" t="s">
        <v>31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</row>
    <row r="8" customFormat="false" ht="15" hidden="false" customHeight="false" outlineLevel="0" collapsed="false">
      <c r="B8" s="3" t="s">
        <v>32</v>
      </c>
      <c r="C8" s="14" t="n">
        <v>38000</v>
      </c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</row>
    <row r="9" customFormat="false" ht="15" hidden="false" customHeight="false" outlineLevel="0" collapsed="false">
      <c r="B9" s="3" t="s">
        <v>33</v>
      </c>
      <c r="C9" s="14" t="n">
        <v>0</v>
      </c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</row>
    <row r="10" customFormat="false" ht="15" hidden="false" customHeight="false" outlineLevel="0" collapsed="false">
      <c r="B10" s="3" t="s">
        <v>34</v>
      </c>
      <c r="C10" s="14" t="n">
        <v>0</v>
      </c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</row>
    <row r="11" customFormat="false" ht="15" hidden="false" customHeight="false" outlineLevel="0" collapsed="false">
      <c r="B11" s="3" t="s">
        <v>35</v>
      </c>
      <c r="C11" s="14" t="n">
        <v>500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</row>
    <row r="12" customFormat="false" ht="15" hidden="false" customHeight="false" outlineLevel="0" collapsed="false">
      <c r="B12" s="4" t="s">
        <v>36</v>
      </c>
      <c r="C12" s="15" t="n">
        <f aca="false">SUM(C8:C11)</f>
        <v>38500</v>
      </c>
      <c r="D12" s="15" t="n">
        <f aca="false">SUM(D8:D11)</f>
        <v>0</v>
      </c>
      <c r="E12" s="15" t="n">
        <f aca="false">SUM(E8:E11)</f>
        <v>0</v>
      </c>
      <c r="F12" s="15" t="n">
        <f aca="false">SUM(F8:F11)</f>
        <v>0</v>
      </c>
      <c r="G12" s="15" t="n">
        <f aca="false">SUM(G8:G11)</f>
        <v>0</v>
      </c>
      <c r="H12" s="15" t="n">
        <f aca="false">SUM(H8:H11)</f>
        <v>0</v>
      </c>
      <c r="I12" s="15" t="n">
        <f aca="false">SUM(I8:I11)</f>
        <v>0</v>
      </c>
      <c r="J12" s="15" t="n">
        <f aca="false">SUM(J8:J11)</f>
        <v>0</v>
      </c>
      <c r="K12" s="15" t="n">
        <f aca="false">SUM(K8:K11)</f>
        <v>0</v>
      </c>
      <c r="L12" s="15" t="n">
        <f aca="false">SUM(L8:L11)</f>
        <v>0</v>
      </c>
      <c r="M12" s="15" t="n">
        <f aca="false">SUM(M8:M11)</f>
        <v>0</v>
      </c>
      <c r="N12" s="15" t="n">
        <f aca="false">SUM(N8:N11)</f>
        <v>0</v>
      </c>
    </row>
    <row r="14" customFormat="false" ht="15" hidden="false" customHeight="false" outlineLevel="0" collapsed="false">
      <c r="B14" s="12" t="s">
        <v>37</v>
      </c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</row>
    <row r="15" customFormat="false" ht="15" hidden="false" customHeight="false" outlineLevel="0" collapsed="false">
      <c r="B15" s="3" t="s">
        <v>38</v>
      </c>
      <c r="C15" s="14" t="n">
        <v>12500</v>
      </c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</row>
    <row r="16" customFormat="false" ht="15" hidden="false" customHeight="false" outlineLevel="0" collapsed="false">
      <c r="B16" s="3" t="s">
        <v>39</v>
      </c>
      <c r="C16" s="14" t="n">
        <v>11200</v>
      </c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</row>
    <row r="17" customFormat="false" ht="15" hidden="false" customHeight="false" outlineLevel="0" collapsed="false">
      <c r="B17" s="3" t="s">
        <v>40</v>
      </c>
      <c r="C17" s="14" t="n">
        <v>5400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</row>
    <row r="18" customFormat="false" ht="15" hidden="false" customHeight="false" outlineLevel="0" collapsed="false">
      <c r="B18" s="3" t="s">
        <v>41</v>
      </c>
      <c r="C18" s="14" t="n">
        <v>3100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</row>
    <row r="19" customFormat="false" ht="15" hidden="false" customHeight="false" outlineLevel="0" collapsed="false">
      <c r="B19" s="3" t="s">
        <v>42</v>
      </c>
      <c r="C19" s="14" t="n">
        <v>1800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</row>
    <row r="20" customFormat="false" ht="15" hidden="false" customHeight="false" outlineLevel="0" collapsed="false">
      <c r="B20" s="3" t="s">
        <v>43</v>
      </c>
      <c r="C20" s="14" t="n">
        <v>950</v>
      </c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</row>
    <row r="21" customFormat="false" ht="15" hidden="false" customHeight="false" outlineLevel="0" collapsed="false">
      <c r="B21" s="3" t="s">
        <v>44</v>
      </c>
      <c r="C21" s="14" t="n">
        <v>0</v>
      </c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</row>
    <row r="22" customFormat="false" ht="15" hidden="false" customHeight="false" outlineLevel="0" collapsed="false">
      <c r="B22" s="3" t="s">
        <v>45</v>
      </c>
      <c r="C22" s="14" t="n">
        <v>700</v>
      </c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</row>
    <row r="23" customFormat="false" ht="15" hidden="false" customHeight="false" outlineLevel="0" collapsed="false">
      <c r="B23" s="4" t="s">
        <v>46</v>
      </c>
      <c r="C23" s="15" t="n">
        <f aca="false">SUM(C15:C22)</f>
        <v>35650</v>
      </c>
      <c r="D23" s="15" t="n">
        <f aca="false">SUM(D15:D22)</f>
        <v>0</v>
      </c>
      <c r="E23" s="15" t="n">
        <f aca="false">SUM(E15:E22)</f>
        <v>0</v>
      </c>
      <c r="F23" s="15" t="n">
        <f aca="false">SUM(F15:F22)</f>
        <v>0</v>
      </c>
      <c r="G23" s="15" t="n">
        <f aca="false">SUM(G15:G22)</f>
        <v>0</v>
      </c>
      <c r="H23" s="15" t="n">
        <f aca="false">SUM(H15:H22)</f>
        <v>0</v>
      </c>
      <c r="I23" s="15" t="n">
        <f aca="false">SUM(I15:I22)</f>
        <v>0</v>
      </c>
      <c r="J23" s="15" t="n">
        <f aca="false">SUM(J15:J22)</f>
        <v>0</v>
      </c>
      <c r="K23" s="15" t="n">
        <f aca="false">SUM(K15:K22)</f>
        <v>0</v>
      </c>
      <c r="L23" s="15" t="n">
        <f aca="false">SUM(L15:L22)</f>
        <v>0</v>
      </c>
      <c r="M23" s="15" t="n">
        <f aca="false">SUM(M15:M22)</f>
        <v>0</v>
      </c>
      <c r="N23" s="15" t="n">
        <f aca="false">SUM(N15:N22)</f>
        <v>0</v>
      </c>
    </row>
    <row r="25" customFormat="false" ht="15" hidden="false" customHeight="false" outlineLevel="0" collapsed="false">
      <c r="B25" s="4" t="s">
        <v>47</v>
      </c>
      <c r="C25" s="15" t="n">
        <f aca="false">C12-C23</f>
        <v>2850</v>
      </c>
      <c r="D25" s="15" t="n">
        <f aca="false">D12-D23</f>
        <v>0</v>
      </c>
      <c r="E25" s="15" t="n">
        <f aca="false">E12-E23</f>
        <v>0</v>
      </c>
      <c r="F25" s="15" t="n">
        <f aca="false">F12-F23</f>
        <v>0</v>
      </c>
      <c r="G25" s="15" t="n">
        <f aca="false">G12-G23</f>
        <v>0</v>
      </c>
      <c r="H25" s="15" t="n">
        <f aca="false">H12-H23</f>
        <v>0</v>
      </c>
      <c r="I25" s="15" t="n">
        <f aca="false">I12-I23</f>
        <v>0</v>
      </c>
      <c r="J25" s="15" t="n">
        <f aca="false">J12-J23</f>
        <v>0</v>
      </c>
      <c r="K25" s="15" t="n">
        <f aca="false">K12-K23</f>
        <v>0</v>
      </c>
      <c r="L25" s="15" t="n">
        <f aca="false">L12-L23</f>
        <v>0</v>
      </c>
      <c r="M25" s="15" t="n">
        <f aca="false">M12-M23</f>
        <v>0</v>
      </c>
      <c r="N25" s="15" t="n">
        <f aca="false">N12-N23</f>
        <v>0</v>
      </c>
    </row>
    <row r="26" customFormat="false" ht="15" hidden="false" customHeight="false" outlineLevel="0" collapsed="false">
      <c r="B26" s="16" t="s">
        <v>48</v>
      </c>
      <c r="C26" s="17" t="n">
        <f aca="false">$C$4+C25</f>
        <v>17850</v>
      </c>
      <c r="D26" s="17" t="n">
        <f aca="false">C26+D25</f>
        <v>17850</v>
      </c>
      <c r="E26" s="17" t="n">
        <f aca="false">D26+E25</f>
        <v>17850</v>
      </c>
      <c r="F26" s="17" t="n">
        <f aca="false">E26+F25</f>
        <v>17850</v>
      </c>
      <c r="G26" s="17" t="n">
        <f aca="false">F26+G25</f>
        <v>17850</v>
      </c>
      <c r="H26" s="17" t="n">
        <f aca="false">G26+H25</f>
        <v>17850</v>
      </c>
      <c r="I26" s="17" t="n">
        <f aca="false">H26+I25</f>
        <v>17850</v>
      </c>
      <c r="J26" s="17" t="n">
        <f aca="false">I26+J25</f>
        <v>17850</v>
      </c>
      <c r="K26" s="17" t="n">
        <f aca="false">J26+K25</f>
        <v>17850</v>
      </c>
      <c r="L26" s="17" t="n">
        <f aca="false">K26+L25</f>
        <v>17850</v>
      </c>
      <c r="M26" s="17" t="n">
        <f aca="false">L26+M25</f>
        <v>17850</v>
      </c>
      <c r="N26" s="17" t="n">
        <f aca="false">M26+N25</f>
        <v>17850</v>
      </c>
    </row>
    <row r="28" customFormat="false" ht="15" hidden="false" customHeight="false" outlineLevel="0" collapsed="false">
      <c r="B28" s="4" t="s">
        <v>49</v>
      </c>
      <c r="C28" s="18" t="n">
        <f aca="false">MIN(C26:N26)</f>
        <v>17850</v>
      </c>
      <c r="D28" s="7" t="str">
        <f aca="false">IF(C28&lt;0,"⚠ Point bas négatif : agissez maintenant (ligne court terme, relances, décalage d'investissement)","✓ Aucun mois négatif sur la projection")</f>
        <v>✓ Aucun mois négatif sur la projection</v>
      </c>
    </row>
    <row r="30" customFormat="false" ht="15" hidden="false" customHeight="false" outlineLevel="0" collapsed="false">
      <c r="B30" s="2" t="s">
        <v>50</v>
      </c>
    </row>
  </sheetData>
  <conditionalFormatting sqref="C26:N26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2026-07-15T13:21:40Z</dcterms:created>
  <dc:creator>openpyxl</dc:creator>
  <dc:description/>
  <dc:language>en-US</dc:language>
  <cp:lastModifiedBy/>
  <dcterms:modified xsi:type="dcterms:W3CDTF">2026-07-15T13:21:40Z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