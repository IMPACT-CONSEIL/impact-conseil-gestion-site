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Tableau de 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<sst xmlns="http://schemas.openxmlformats.org/spreadsheetml/2006/main" count="51" uniqueCount="51">
  <si>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Tableau de bord de pilotage — 5 indicateurs clés</t>
  </si>
  <si>
    <t xml:space="preserve">Impact Conseil — impact-conseil-gestion.fr · Outil gratuit</t>
  </si>
  <si>
    <t xml:space="preserve">30 minutes par mois suffisent. Chaque début de mois, remplissez les cellules bleues du mois écoulé</t>
  </si>
  <si>
    <t xml:space="preserve">dans l'onglet « Tableau de bord ». Les 5 indicateurs se calculent automatiquement.</t>
  </si>
  <si>
    <t xml:space="preserve">■ Les 5 indicateurs suivis :</t>
  </si>
  <si>
    <t xml:space="preserve">1. Trésorerie nette fin de mois — l'indicateur de survie</t>
  </si>
  <si>
    <t xml:space="preserve">2. Marge brute (€ et %) — détecte les problèmes des mois avant le résultat comptable</t>
  </si>
  <si>
    <t xml:space="preserve">3. Point mort mensuel — le CA minimum pour couvrir vos charges</t>
  </si>
  <si>
    <t xml:space="preserve">4. DSO (délai de paiement clients) — chaque jour de délai finance vos clients</t>
  </si>
  <si>
    <t xml:space="preserve">5. BFR — l'argent immobilisé par votre cycle d'exploitation</t>
  </si>
  <si>
    <t xml:space="preserve">Article lié : « Les 5 indicateurs que tout dirigeant devrait suivre chaque mois »</t>
  </si>
  <si>
    <t xml:space="preserve">→ impact-conseil-gestion.fr/ressources/5-indicateurs-pilotage.html</t>
  </si>
  <si>
    <t xml:space="preserve">Légende :</t>
  </si>
  <si>
    <t xml:space="preserve">Texte bleu = cellule à remplir par vous</t>
  </si>
  <si>
    <t xml:space="preserve">Fond jaune = hypothèse clé à personnaliser</t>
  </si>
  <si>
    <t xml:space="preserve">Texte noir = formule calculée automatiquement — ne pas modifier</t>
  </si>
  <si>
    <t xml:space="preserve">Le mois de janvier est pré-rempli avec un exemple réaliste (entreprise de services, 5 salariés). Remplacez-le par vos chiffres.</t>
  </si>
  <si>
    <t xml:space="preserve">TABLEAU DE BORD DE PILOTAGE</t>
  </si>
  <si>
    <t xml:space="preserve">Année :</t>
  </si>
  <si>
    <t xml:space="preserve">2026</t>
  </si>
  <si>
    <t xml:space="preserve">Indicateur</t>
  </si>
  <si>
    <t xml:space="preserve">Janv</t>
  </si>
  <si>
    <t xml:space="preserve">Févr</t>
  </si>
  <si>
    <t xml:space="preserve">Mars</t>
  </si>
  <si>
    <t xml:space="preserve">Avril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</si>
  <si>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</si>
  <si>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</si>
  <si>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</si>
  <si>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</si>
  <si>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</si>
  <si>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</si>
  <si>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</si>
  <si>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</si>
  <si>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SAISIE — vos chiffres du mois</t>
  </si>
  <si>
    <t xml:space="preserve">Chiffre d'affaires HT facturé</t>
  </si>
  <si>
    <t xml:space="preserve">Coûts directs (achats, sous-traitance…)</t>
  </si>
  <si>
    <t xml:space="preserve">Charges fixes du mois (salaires, loyer, assurances…)</t>
  </si>
  <si>
    <t xml:space="preserve">Trésorerie fin de mois (banques - découverts)</t>
  </si>
  <si>
    <t xml:space="preserve">Créances clients en attente (encours)</t>
  </si>
  <si>
    <t xml:space="preserve">Stocks (valeur, si applicable)</t>
  </si>
  <si>
    <t xml:space="preserve">Dettes fournisseurs en attente</t>
  </si>
  <si>
    <t xml:space="preserve">INDICATEURS — calcul automatique</t>
  </si>
  <si>
    <t xml:space="preserve">1· Trésorerie nette fin de mois</t>
  </si>
  <si>
    <t xml:space="preserve">    Variation vs mois précédent</t>
  </si>
  <si>
    <t xml:space="preserve">2· Marge brute (€)</t>
  </si>
  <si>
    <t xml:space="preserve">    Marge brute (%)</t>
  </si>
  <si>
    <t xml:space="preserve">3· Point mort mensuel (CA minimum)</t>
  </si>
  <si>
    <t xml:space="preserve">    CA au-dessus (+) / en-dessous (-) du point mort</t>
  </si>
  <si>
    <t xml:space="preserve">4· DSO — délai de paiement clients (jours)</t>
  </si>
  <si>
    <t xml:space="preserve">5· BFR — besoin en fonds de roulement</t>
  </si>
  <si>
    <t xml:space="preserve">Exemple janvier : entreprise de services, 5 salariés — chiffres fournis par Impact Conseil à titre illustratif. Remplacez-les par les vôtres.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</si>
</sst>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(#,##0&quot; €)&quot;;\-"/>
    <numFmt numFmtId="166" formatCode="0.0%;\(0.0%\);\-"/>
    <numFmt numFmtId="167" formatCode="0&quot; j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A4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color rgb="FF162A4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2A48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62A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5" t="s">
        <v>13</v>
      </c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3" t="s">
        <v>15</v>
      </c>
    </row>
    <row r="23" customFormat="false" ht="15" hidden="false" customHeight="false" outlineLevel="0" collapsed="false">
      <c r="B23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8"/>
    <col collapsed="false" customWidth="true" hidden="false" outlineLevel="0" max="14" min="3" style="0" width="11"/>
  </cols>
  <sheetData>
    <row r="2" customFormat="false" ht="17.35" hidden="false" customHeight="false" outlineLevel="0" collapsed="false">
      <c r="B2" s="8" t="s">
        <v>17</v>
      </c>
    </row>
    <row r="3" customFormat="false" ht="15" hidden="false" customHeight="false" outlineLevel="0" collapsed="false">
      <c r="B3" s="4" t="s">
        <v>18</v>
      </c>
      <c r="C3" s="9" t="s">
        <v>19</v>
      </c>
    </row>
    <row r="5" customFormat="false" ht="15" hidden="false" customHeight="false" outlineLevel="0" collapsed="false">
      <c r="B5" s="10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1" t="s">
        <v>30</v>
      </c>
      <c r="M5" s="11" t="s">
        <v>31</v>
      </c>
      <c r="N5" s="11" t="s">
        <v>32</v>
      </c>
    </row>
    <row r="6" customFormat="false" ht="15" hidden="false" customHeight="false" outlineLevel="0" collapsed="false">
      <c r="B6" s="3" t="s">
        <v>33</v>
      </c>
    </row>
    <row r="7" customFormat="false" ht="15" hidden="false" customHeight="false" outlineLevel="0" collapsed="false">
      <c r="B7" s="3" t="s">
        <v>34</v>
      </c>
      <c r="C7" s="12" t="n">
        <v>42000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customFormat="false" ht="15" hidden="false" customHeight="false" outlineLevel="0" collapsed="false">
      <c r="B8" s="3" t="s">
        <v>35</v>
      </c>
      <c r="C8" s="12" t="n">
        <v>16800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5" hidden="false" customHeight="false" outlineLevel="0" collapsed="false">
      <c r="B9" s="3" t="s">
        <v>36</v>
      </c>
      <c r="C9" s="12" t="n">
        <v>18500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Format="false" ht="15" hidden="false" customHeight="false" outlineLevel="0" collapsed="false">
      <c r="B10" s="3" t="s">
        <v>37</v>
      </c>
      <c r="C10" s="12" t="n">
        <v>23500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customFormat="false" ht="15" hidden="false" customHeight="false" outlineLevel="0" collapsed="false">
      <c r="B11" s="3" t="s">
        <v>38</v>
      </c>
      <c r="C11" s="12" t="n">
        <v>51000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B12" s="3" t="s">
        <v>39</v>
      </c>
      <c r="C12" s="12" t="n">
        <v>4000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B13" s="3" t="s">
        <v>40</v>
      </c>
      <c r="C13" s="12" t="n">
        <v>21000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15" hidden="false" customHeight="false" outlineLevel="0" collapsed="false">
      <c r="B14" s="3" t="s">
        <v>41</v>
      </c>
    </row>
    <row r="15" customFormat="false" ht="15" hidden="false" customHeight="false" outlineLevel="0" collapsed="false">
      <c r="B15" s="3" t="s">
        <v>42</v>
      </c>
      <c r="C15" s="13" t="n">
        <f aca="false">IF(C10="","",C10)</f>
        <v>23500</v>
      </c>
      <c r="D15" s="13" t="str">
        <f aca="false">IF(D10="","",D10)</f>
        <v/>
      </c>
      <c r="E15" s="13" t="str">
        <f aca="false">IF(E10="","",E10)</f>
        <v/>
      </c>
      <c r="F15" s="13" t="str">
        <f aca="false">IF(F10="","",F10)</f>
        <v/>
      </c>
      <c r="G15" s="13" t="str">
        <f aca="false">IF(G10="","",G10)</f>
        <v/>
      </c>
      <c r="H15" s="13" t="str">
        <f aca="false">IF(H10="","",H10)</f>
        <v/>
      </c>
      <c r="I15" s="13" t="str">
        <f aca="false">IF(I10="","",I10)</f>
        <v/>
      </c>
      <c r="J15" s="13" t="str">
        <f aca="false">IF(J10="","",J10)</f>
        <v/>
      </c>
      <c r="K15" s="13" t="str">
        <f aca="false">IF(K10="","",K10)</f>
        <v/>
      </c>
      <c r="L15" s="13" t="str">
        <f aca="false">IF(L10="","",L10)</f>
        <v/>
      </c>
      <c r="M15" s="13" t="str">
        <f aca="false">IF(M10="","",M10)</f>
        <v/>
      </c>
      <c r="N15" s="13" t="str">
        <f aca="false">IF(N10="","",N10)</f>
        <v/>
      </c>
    </row>
    <row r="16" customFormat="false" ht="15" hidden="false" customHeight="false" outlineLevel="0" collapsed="false">
      <c r="B16" s="3" t="s">
        <v>43</v>
      </c>
      <c r="C16" s="13" t="str">
        <f aca="false">""</f>
        <v/>
      </c>
      <c r="D16" s="13" t="str">
        <f aca="false">IF(OR(D10="",C10=""),"",D10-C10)</f>
        <v/>
      </c>
      <c r="E16" s="13" t="str">
        <f aca="false">IF(OR(E10="",D10=""),"",E10-D10)</f>
        <v/>
      </c>
      <c r="F16" s="13" t="str">
        <f aca="false">IF(OR(F10="",E10=""),"",F10-E10)</f>
        <v/>
      </c>
      <c r="G16" s="13" t="str">
        <f aca="false">IF(OR(G10="",F10=""),"",G10-F10)</f>
        <v/>
      </c>
      <c r="H16" s="13" t="str">
        <f aca="false">IF(OR(H10="",G10=""),"",H10-G10)</f>
        <v/>
      </c>
      <c r="I16" s="13" t="str">
        <f aca="false">IF(OR(I10="",H10=""),"",I10-H10)</f>
        <v/>
      </c>
      <c r="J16" s="13" t="str">
        <f aca="false">IF(OR(J10="",I10=""),"",J10-I10)</f>
        <v/>
      </c>
      <c r="K16" s="13" t="str">
        <f aca="false">IF(OR(K10="",J10=""),"",K10-J10)</f>
        <v/>
      </c>
      <c r="L16" s="13" t="str">
        <f aca="false">IF(OR(L10="",K10=""),"",L10-K10)</f>
        <v/>
      </c>
      <c r="M16" s="13" t="str">
        <f aca="false">IF(OR(M10="",L10=""),"",M10-L10)</f>
        <v/>
      </c>
      <c r="N16" s="13" t="str">
        <f aca="false">IF(OR(N10="",M10=""),"",N10-M10)</f>
        <v/>
      </c>
    </row>
    <row r="17" customFormat="false" ht="15" hidden="false" customHeight="false" outlineLevel="0" collapsed="false">
      <c r="B17" s="3" t="s">
        <v>44</v>
      </c>
      <c r="C17" s="13" t="n">
        <f aca="false">IF(C7="","",C7-C8)</f>
        <v>25200</v>
      </c>
      <c r="D17" s="13" t="str">
        <f aca="false">IF(D7="","",D7-D8)</f>
        <v/>
      </c>
      <c r="E17" s="13" t="str">
        <f aca="false">IF(E7="","",E7-E8)</f>
        <v/>
      </c>
      <c r="F17" s="13" t="str">
        <f aca="false">IF(F7="","",F7-F8)</f>
        <v/>
      </c>
      <c r="G17" s="13" t="str">
        <f aca="false">IF(G7="","",G7-G8)</f>
        <v/>
      </c>
      <c r="H17" s="13" t="str">
        <f aca="false">IF(H7="","",H7-H8)</f>
        <v/>
      </c>
      <c r="I17" s="13" t="str">
        <f aca="false">IF(I7="","",I7-I8)</f>
        <v/>
      </c>
      <c r="J17" s="13" t="str">
        <f aca="false">IF(J7="","",J7-J8)</f>
        <v/>
      </c>
      <c r="K17" s="13" t="str">
        <f aca="false">IF(K7="","",K7-K8)</f>
        <v/>
      </c>
      <c r="L17" s="13" t="str">
        <f aca="false">IF(L7="","",L7-L8)</f>
        <v/>
      </c>
      <c r="M17" s="13" t="str">
        <f aca="false">IF(M7="","",M7-M8)</f>
        <v/>
      </c>
      <c r="N17" s="13" t="str">
        <f aca="false">IF(N7="","",N7-N8)</f>
        <v/>
      </c>
    </row>
    <row r="18" customFormat="false" ht="15" hidden="false" customHeight="false" outlineLevel="0" collapsed="false">
      <c r="B18" s="3" t="s">
        <v>45</v>
      </c>
      <c r="C18" s="14" t="n">
        <f aca="false">IF(OR(C7="",C7=0),"",(C7-C8)/C7)</f>
        <v>0.6</v>
      </c>
      <c r="D18" s="14" t="str">
        <f aca="false">IF(OR(D7="",D7=0),"",(D7-D8)/D7)</f>
        <v/>
      </c>
      <c r="E18" s="14" t="str">
        <f aca="false">IF(OR(E7="",E7=0),"",(E7-E8)/E7)</f>
        <v/>
      </c>
      <c r="F18" s="14" t="str">
        <f aca="false">IF(OR(F7="",F7=0),"",(F7-F8)/F7)</f>
        <v/>
      </c>
      <c r="G18" s="14" t="str">
        <f aca="false">IF(OR(G7="",G7=0),"",(G7-G8)/G7)</f>
        <v/>
      </c>
      <c r="H18" s="14" t="str">
        <f aca="false">IF(OR(H7="",H7=0),"",(H7-H8)/H7)</f>
        <v/>
      </c>
      <c r="I18" s="14" t="str">
        <f aca="false">IF(OR(I7="",I7=0),"",(I7-I8)/I7)</f>
        <v/>
      </c>
      <c r="J18" s="14" t="str">
        <f aca="false">IF(OR(J7="",J7=0),"",(J7-J8)/J7)</f>
        <v/>
      </c>
      <c r="K18" s="14" t="str">
        <f aca="false">IF(OR(K7="",K7=0),"",(K7-K8)/K7)</f>
        <v/>
      </c>
      <c r="L18" s="14" t="str">
        <f aca="false">IF(OR(L7="",L7=0),"",(L7-L8)/L7)</f>
        <v/>
      </c>
      <c r="M18" s="14" t="str">
        <f aca="false">IF(OR(M7="",M7=0),"",(M7-M8)/M7)</f>
        <v/>
      </c>
      <c r="N18" s="14" t="str">
        <f aca="false">IF(OR(N7="",N7=0),"",(N7-N8)/N7)</f>
        <v/>
      </c>
    </row>
    <row r="19" customFormat="false" ht="15" hidden="false" customHeight="false" outlineLevel="0" collapsed="false">
      <c r="B19" s="3" t="s">
        <v>46</v>
      </c>
      <c r="C19" s="13" t="n">
        <f aca="false">IF(OR(C7="",C7=0,C7=C8),"",C9/((C7-C8)/C7))</f>
        <v>30833.3333333333</v>
      </c>
      <c r="D19" s="13" t="str">
        <f aca="false">IF(OR(D7="",D7=0,D7=D8),"",D9/((D7-D8)/D7))</f>
        <v/>
      </c>
      <c r="E19" s="13" t="str">
        <f aca="false">IF(OR(E7="",E7=0,E7=E8),"",E9/((E7-E8)/E7))</f>
        <v/>
      </c>
      <c r="F19" s="13" t="str">
        <f aca="false">IF(OR(F7="",F7=0,F7=F8),"",F9/((F7-F8)/F7))</f>
        <v/>
      </c>
      <c r="G19" s="13" t="str">
        <f aca="false">IF(OR(G7="",G7=0,G7=G8),"",G9/((G7-G8)/G7))</f>
        <v/>
      </c>
      <c r="H19" s="13" t="str">
        <f aca="false">IF(OR(H7="",H7=0,H7=H8),"",H9/((H7-H8)/H7))</f>
        <v/>
      </c>
      <c r="I19" s="13" t="str">
        <f aca="false">IF(OR(I7="",I7=0,I7=I8),"",I9/((I7-I8)/I7))</f>
        <v/>
      </c>
      <c r="J19" s="13" t="str">
        <f aca="false">IF(OR(J7="",J7=0,J7=J8),"",J9/((J7-J8)/J7))</f>
        <v/>
      </c>
      <c r="K19" s="13" t="str">
        <f aca="false">IF(OR(K7="",K7=0,K7=K8),"",K9/((K7-K8)/K7))</f>
        <v/>
      </c>
      <c r="L19" s="13" t="str">
        <f aca="false">IF(OR(L7="",L7=0,L7=L8),"",L9/((L7-L8)/L7))</f>
        <v/>
      </c>
      <c r="M19" s="13" t="str">
        <f aca="false">IF(OR(M7="",M7=0,M7=M8),"",M9/((M7-M8)/M7))</f>
        <v/>
      </c>
      <c r="N19" s="13" t="str">
        <f aca="false">IF(OR(N7="",N7=0,N7=N8),"",N9/((N7-N8)/N7))</f>
        <v/>
      </c>
    </row>
    <row r="20" customFormat="false" ht="15" hidden="false" customHeight="false" outlineLevel="0" collapsed="false">
      <c r="B20" s="3" t="s">
        <v>47</v>
      </c>
      <c r="C20" s="13" t="n">
        <f aca="false">IF(C19="","",C7-C19)</f>
        <v>11166.6666666667</v>
      </c>
      <c r="D20" s="13" t="str">
        <f aca="false">IF(D19="","",D7-D19)</f>
        <v/>
      </c>
      <c r="E20" s="13" t="str">
        <f aca="false">IF(E19="","",E7-E19)</f>
        <v/>
      </c>
      <c r="F20" s="13" t="str">
        <f aca="false">IF(F19="","",F7-F19)</f>
        <v/>
      </c>
      <c r="G20" s="13" t="str">
        <f aca="false">IF(G19="","",G7-G19)</f>
        <v/>
      </c>
      <c r="H20" s="13" t="str">
        <f aca="false">IF(H19="","",H7-H19)</f>
        <v/>
      </c>
      <c r="I20" s="13" t="str">
        <f aca="false">IF(I19="","",I7-I19)</f>
        <v/>
      </c>
      <c r="J20" s="13" t="str">
        <f aca="false">IF(J19="","",J7-J19)</f>
        <v/>
      </c>
      <c r="K20" s="13" t="str">
        <f aca="false">IF(K19="","",K7-K19)</f>
        <v/>
      </c>
      <c r="L20" s="13" t="str">
        <f aca="false">IF(L19="","",L7-L19)</f>
        <v/>
      </c>
      <c r="M20" s="13" t="str">
        <f aca="false">IF(M19="","",M7-M19)</f>
        <v/>
      </c>
      <c r="N20" s="13" t="str">
        <f aca="false">IF(N19="","",N7-N19)</f>
        <v/>
      </c>
    </row>
    <row r="21" customFormat="false" ht="15" hidden="false" customHeight="false" outlineLevel="0" collapsed="false">
      <c r="B21" s="3" t="s">
        <v>48</v>
      </c>
      <c r="C21" s="15" t="n">
        <f aca="false">IF(OR(C7="",C7=0),"",C11/C7*30)</f>
        <v>36.4285714285714</v>
      </c>
      <c r="D21" s="15" t="str">
        <f aca="false">IF(OR(D7="",D7=0),"",D11/D7*30)</f>
        <v/>
      </c>
      <c r="E21" s="15" t="str">
        <f aca="false">IF(OR(E7="",E7=0),"",E11/E7*30)</f>
        <v/>
      </c>
      <c r="F21" s="15" t="str">
        <f aca="false">IF(OR(F7="",F7=0),"",F11/F7*30)</f>
        <v/>
      </c>
      <c r="G21" s="15" t="str">
        <f aca="false">IF(OR(G7="",G7=0),"",G11/G7*30)</f>
        <v/>
      </c>
      <c r="H21" s="15" t="str">
        <f aca="false">IF(OR(H7="",H7=0),"",H11/H7*30)</f>
        <v/>
      </c>
      <c r="I21" s="15" t="str">
        <f aca="false">IF(OR(I7="",I7=0),"",I11/I7*30)</f>
        <v/>
      </c>
      <c r="J21" s="15" t="str">
        <f aca="false">IF(OR(J7="",J7=0),"",J11/J7*30)</f>
        <v/>
      </c>
      <c r="K21" s="15" t="str">
        <f aca="false">IF(OR(K7="",K7=0),"",K11/K7*30)</f>
        <v/>
      </c>
      <c r="L21" s="15" t="str">
        <f aca="false">IF(OR(L7="",L7=0),"",L11/L7*30)</f>
        <v/>
      </c>
      <c r="M21" s="15" t="str">
        <f aca="false">IF(OR(M7="",M7=0),"",M11/M7*30)</f>
        <v/>
      </c>
      <c r="N21" s="15" t="str">
        <f aca="false">IF(OR(N7="",N7=0),"",N11/N7*30)</f>
        <v/>
      </c>
    </row>
    <row r="22" customFormat="false" ht="15" hidden="false" customHeight="false" outlineLevel="0" collapsed="false">
      <c r="B22" s="3" t="s">
        <v>49</v>
      </c>
      <c r="C22" s="13" t="n">
        <f aca="false">IF(C11="","",C11+C12-C13)</f>
        <v>34000</v>
      </c>
      <c r="D22" s="13" t="str">
        <f aca="false">IF(D11="","",D11+D12-D13)</f>
        <v/>
      </c>
      <c r="E22" s="13" t="str">
        <f aca="false">IF(E11="","",E11+E12-E13)</f>
        <v/>
      </c>
      <c r="F22" s="13" t="str">
        <f aca="false">IF(F11="","",F11+F12-F13)</f>
        <v/>
      </c>
      <c r="G22" s="13" t="str">
        <f aca="false">IF(G11="","",G11+G12-G13)</f>
        <v/>
      </c>
      <c r="H22" s="13" t="str">
        <f aca="false">IF(H11="","",H11+H12-H13)</f>
        <v/>
      </c>
      <c r="I22" s="13" t="str">
        <f aca="false">IF(I11="","",I11+I12-I13)</f>
        <v/>
      </c>
      <c r="J22" s="13" t="str">
        <f aca="false">IF(J11="","",J11+J12-J13)</f>
        <v/>
      </c>
      <c r="K22" s="13" t="str">
        <f aca="false">IF(K11="","",K11+K12-K13)</f>
        <v/>
      </c>
      <c r="L22" s="13" t="str">
        <f aca="false">IF(L11="","",L11+L12-L13)</f>
        <v/>
      </c>
      <c r="M22" s="13" t="str">
        <f aca="false">IF(M11="","",M11+M12-M13)</f>
        <v/>
      </c>
      <c r="N22" s="13" t="str">
        <f aca="false">IF(N11="","",N11+N12-N13)</f>
        <v/>
      </c>
    </row>
    <row r="24" customFormat="false" ht="15" hidden="false" customHeight="false" outlineLevel="0" collapsed="false">
      <c r="B24" s="2" t="s">
        <v>50</v>
      </c>
    </row>
  </sheetData>
  <conditionalFormatting sqref="C20:N20">
    <cfRule type="cellIs" priority="2" operator="lessThan" aboveAverage="0" equalAverage="0" bottom="0" percent="0" rank="0" text="" dxfId="0">
      <formula>0</formula>
    </cfRule>
  </conditionalFormatting>
  <conditionalFormatting sqref="C15:N15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2026-07-15T13:21:40Z</dcterms:created>
  <dc:creator>openpyxl</dc:creator>
  <dc:description/>
  <dc:language>en-US</dc:language>
  <cp:lastModifiedBy/>
  <dcterms:modified xsi:type="dcterms:W3CDTF">2026-07-15T13:21:40Z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